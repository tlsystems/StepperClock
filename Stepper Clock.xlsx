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ectronic Projects\Clough42\StepperClock\"/>
    </mc:Choice>
  </mc:AlternateContent>
  <xr:revisionPtr revIDLastSave="0" documentId="13_ncr:1_{42CEFA3A-82ED-4122-9E04-C66B957E8009}" xr6:coauthVersionLast="47" xr6:coauthVersionMax="47" xr10:uidLastSave="{00000000-0000-0000-0000-000000000000}"/>
  <bookViews>
    <workbookView xWindow="35232" yWindow="936" windowWidth="25944" windowHeight="15156" xr2:uid="{1C268348-1077-4884-8FD2-FC040505C264}"/>
  </bookViews>
  <sheets>
    <sheet name="BOM" sheetId="2" r:id="rId1"/>
    <sheet name="Pi Pico" sheetId="1" r:id="rId2"/>
    <sheet name="Pinou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C11" i="2"/>
  <c r="A15" i="2"/>
  <c r="A17" i="2" s="1"/>
  <c r="B15" i="2"/>
  <c r="B17" i="2" s="1"/>
  <c r="C15" i="2" l="1"/>
  <c r="C17" i="2" s="1"/>
</calcChain>
</file>

<file path=xl/sharedStrings.xml><?xml version="1.0" encoding="utf-8"?>
<sst xmlns="http://schemas.openxmlformats.org/spreadsheetml/2006/main" count="435" uniqueCount="268">
  <si>
    <t>SWCLK</t>
  </si>
  <si>
    <t>GND</t>
  </si>
  <si>
    <t>GP0</t>
  </si>
  <si>
    <t>GP1</t>
  </si>
  <si>
    <t>Ground</t>
  </si>
  <si>
    <t>GP2</t>
  </si>
  <si>
    <t>GP3</t>
  </si>
  <si>
    <t>GP4</t>
  </si>
  <si>
    <t>GP5</t>
  </si>
  <si>
    <t>GP6</t>
  </si>
  <si>
    <t>GP7</t>
  </si>
  <si>
    <t>GP8</t>
  </si>
  <si>
    <t>GP9</t>
  </si>
  <si>
    <t>GP10</t>
  </si>
  <si>
    <t>GP11</t>
  </si>
  <si>
    <t>GP12</t>
  </si>
  <si>
    <t>GP13</t>
  </si>
  <si>
    <t>GP14</t>
  </si>
  <si>
    <t>GP15</t>
  </si>
  <si>
    <t>GP16</t>
  </si>
  <si>
    <t>GP17</t>
  </si>
  <si>
    <t>GP18</t>
  </si>
  <si>
    <t>GP19</t>
  </si>
  <si>
    <t>GP20</t>
  </si>
  <si>
    <t>GP21</t>
  </si>
  <si>
    <t>GP22</t>
  </si>
  <si>
    <t>RUN</t>
  </si>
  <si>
    <t>GP26 A0</t>
  </si>
  <si>
    <t>GP27 A1</t>
  </si>
  <si>
    <t>ADC Gnd</t>
  </si>
  <si>
    <t>GP28 A2</t>
  </si>
  <si>
    <t>ADC VRef</t>
  </si>
  <si>
    <t>3V3 Out</t>
  </si>
  <si>
    <t>VSYS 5V</t>
  </si>
  <si>
    <t>VBUS 5V</t>
  </si>
  <si>
    <t>Bd Pin</t>
  </si>
  <si>
    <t>IO</t>
  </si>
  <si>
    <t>SPI</t>
  </si>
  <si>
    <t>I2C</t>
  </si>
  <si>
    <t>UART</t>
  </si>
  <si>
    <t>SPI0 RX</t>
  </si>
  <si>
    <t>SPI0 SCK</t>
  </si>
  <si>
    <t>SPI0 CSn</t>
  </si>
  <si>
    <t>SPI0 TX</t>
  </si>
  <si>
    <t>SPI1 RX</t>
  </si>
  <si>
    <t>SPI1 CSn</t>
  </si>
  <si>
    <t>SPI1 SCK</t>
  </si>
  <si>
    <t>SPI1 TX</t>
  </si>
  <si>
    <t>I2C0 SDA</t>
  </si>
  <si>
    <t>I2C0 SCL</t>
  </si>
  <si>
    <t>I2C1 SDA</t>
  </si>
  <si>
    <t>I2C1 SCL</t>
  </si>
  <si>
    <t>UART0 Tx</t>
  </si>
  <si>
    <t>UART0 Rx</t>
  </si>
  <si>
    <t>UART1 Tx</t>
  </si>
  <si>
    <t>UART1 Rx</t>
  </si>
  <si>
    <t>SWDIO</t>
  </si>
  <si>
    <t>Hour1Step</t>
  </si>
  <si>
    <t>Direction</t>
  </si>
  <si>
    <t>Hour1Home</t>
  </si>
  <si>
    <t>Hour0Step</t>
  </si>
  <si>
    <t>Hour0Home</t>
  </si>
  <si>
    <t>Min1Step</t>
  </si>
  <si>
    <t>Min1Home</t>
  </si>
  <si>
    <t>Min0Step</t>
  </si>
  <si>
    <t>Min0Home</t>
  </si>
  <si>
    <t>Sec1Step</t>
  </si>
  <si>
    <t>Sec1Home</t>
  </si>
  <si>
    <t>Sec0Step</t>
  </si>
  <si>
    <t>Sec0Home</t>
  </si>
  <si>
    <t>Tx</t>
  </si>
  <si>
    <t>Rx</t>
  </si>
  <si>
    <t>SPI_MISO</t>
  </si>
  <si>
    <t>TFT_Select</t>
  </si>
  <si>
    <t>SPI_SCK</t>
  </si>
  <si>
    <t>SPI_MOSI</t>
  </si>
  <si>
    <t>TFT_DC</t>
  </si>
  <si>
    <t>TFT_Reset</t>
  </si>
  <si>
    <t>Enable</t>
  </si>
  <si>
    <t>Debug</t>
  </si>
  <si>
    <t>TZ_Offset</t>
  </si>
  <si>
    <t>GPIO04</t>
  </si>
  <si>
    <t>GPIO05</t>
  </si>
  <si>
    <t>GPIO06</t>
  </si>
  <si>
    <t>GPIO07</t>
  </si>
  <si>
    <t>GPIO0</t>
  </si>
  <si>
    <t>GPIO10</t>
  </si>
  <si>
    <t>GPIO11</t>
  </si>
  <si>
    <t>GPIO12</t>
  </si>
  <si>
    <t>GPIO13</t>
  </si>
  <si>
    <t>GPIO14</t>
  </si>
  <si>
    <t>GPIO15</t>
  </si>
  <si>
    <t>GPIO16</t>
  </si>
  <si>
    <t>GPIO17</t>
  </si>
  <si>
    <t>GPIO18</t>
  </si>
  <si>
    <t>GPIO19</t>
  </si>
  <si>
    <t>GPIO20</t>
  </si>
  <si>
    <t>GPIO21</t>
  </si>
  <si>
    <t>GPIO22</t>
  </si>
  <si>
    <t>GPIO26</t>
  </si>
  <si>
    <t>GPIO27</t>
  </si>
  <si>
    <t>GPIO28</t>
  </si>
  <si>
    <t>Seq</t>
  </si>
  <si>
    <t>Chip Pin</t>
  </si>
  <si>
    <t>3V3</t>
  </si>
  <si>
    <t>1V1</t>
  </si>
  <si>
    <t>XIN</t>
  </si>
  <si>
    <t>XOUT</t>
  </si>
  <si>
    <t>SC</t>
  </si>
  <si>
    <t>SD</t>
  </si>
  <si>
    <t>GPIO23</t>
  </si>
  <si>
    <t>GPIO24</t>
  </si>
  <si>
    <t>GPIO25</t>
  </si>
  <si>
    <t>GPIO29</t>
  </si>
  <si>
    <t>IOVDD</t>
  </si>
  <si>
    <t>Bd Lbl</t>
  </si>
  <si>
    <t>Chip Lbl</t>
  </si>
  <si>
    <t>GPIO1</t>
  </si>
  <si>
    <t>GPIO5</t>
  </si>
  <si>
    <t>GPIO9</t>
  </si>
  <si>
    <t>GPIO2</t>
  </si>
  <si>
    <t>GPIO3</t>
  </si>
  <si>
    <t>GPIO4</t>
  </si>
  <si>
    <t>GPIO6</t>
  </si>
  <si>
    <t>GPIO7</t>
  </si>
  <si>
    <t>GPIO8</t>
  </si>
  <si>
    <t>DVDD</t>
  </si>
  <si>
    <t>WL_ON</t>
  </si>
  <si>
    <t>WL_D</t>
  </si>
  <si>
    <t>WL_CS</t>
  </si>
  <si>
    <t>ADC_AVDD</t>
  </si>
  <si>
    <t>WL_CLK</t>
  </si>
  <si>
    <t>VREG_AVDD</t>
  </si>
  <si>
    <t>VREG_PGND</t>
  </si>
  <si>
    <t>BREG_LX</t>
  </si>
  <si>
    <t>BREG_VIN</t>
  </si>
  <si>
    <t>VREG_FB</t>
  </si>
  <si>
    <t>USB_DM</t>
  </si>
  <si>
    <t>USB_DP</t>
  </si>
  <si>
    <t>USB_OTP</t>
  </si>
  <si>
    <t>QSPI_SCLK</t>
  </si>
  <si>
    <t>QSPI_SD3</t>
  </si>
  <si>
    <t>QSPI_SD0</t>
  </si>
  <si>
    <t>QSPI_SD1</t>
  </si>
  <si>
    <t>QSPI_SD2</t>
  </si>
  <si>
    <t>QSPI_IOVDD</t>
  </si>
  <si>
    <t>QSPI_SS</t>
  </si>
  <si>
    <t>Function</t>
  </si>
  <si>
    <t>Dir</t>
  </si>
  <si>
    <t>Out</t>
  </si>
  <si>
    <t>In</t>
  </si>
  <si>
    <t>OUt</t>
  </si>
  <si>
    <t>3V3 In</t>
  </si>
  <si>
    <t>Raspberry Pico</t>
  </si>
  <si>
    <t>GPS Module</t>
  </si>
  <si>
    <t>Buck Converter</t>
  </si>
  <si>
    <t>Stepper Driver</t>
  </si>
  <si>
    <t>Hall Sensors</t>
  </si>
  <si>
    <t>TFT Display</t>
  </si>
  <si>
    <t>Amazon.com: DaFuRui 6PCS TMC2208 3D Printer TMC2208 V1.2 Stepper Motor Driver, with Heat Sink Screwdriver for 3D Printer Controller Boards Reprap Ramps1.4 MKS Gen Ender-3 Pro : Industrial &amp; Scientific</t>
  </si>
  <si>
    <t>Amazon.com: XIITIA 2pcs 0.96" HD IPS TFT LCD Display Module 80x160 RGB LCD Screen 3.3V ST7735 Drive SPI Interface 8pin Full Color for Arduino DIY : Industrial &amp; Scientific</t>
  </si>
  <si>
    <t>FORIOT 10Pcs DC 3.3V-5V KY-003 Hall Effect Sensor Module 3144E A3144 Hall Effect Magnetic Sensor(Pressure sensors): Amazon.com: Industrial &amp; Scientific</t>
  </si>
  <si>
    <t>Amazon.com: MP1584EN 5pcs Mini 5V Buck Converter Board - 5-30V to 5V, 1.8A Output, Small Size, Black : Electronics</t>
  </si>
  <si>
    <t>Amazon.com : raspberry pi pico</t>
  </si>
  <si>
    <t>Amazon.com: 2Pack GPS Module,Navigation Satellite Positioning NEO-6M,Arduino GPS, Drone Microcontroller, GPS Receiver Compatible with 51 Microcontroller STM32 Arduino UNO R3 with Antenna High Sensitivity : Electronics</t>
  </si>
  <si>
    <t>VCC</t>
  </si>
  <si>
    <t>RXD</t>
  </si>
  <si>
    <t>TXD</t>
  </si>
  <si>
    <t>PPS</t>
  </si>
  <si>
    <t>OB2</t>
  </si>
  <si>
    <t>ENN</t>
  </si>
  <si>
    <t>CPO</t>
  </si>
  <si>
    <t>CPI</t>
  </si>
  <si>
    <t>VCP</t>
  </si>
  <si>
    <t>n/c</t>
  </si>
  <si>
    <t>5VOUT</t>
  </si>
  <si>
    <t>MS1</t>
  </si>
  <si>
    <t>MS2</t>
  </si>
  <si>
    <t>DIAG</t>
  </si>
  <si>
    <t>INDEX</t>
  </si>
  <si>
    <t>CLK</t>
  </si>
  <si>
    <t>PDN_UART</t>
  </si>
  <si>
    <t>VCC_IO</t>
  </si>
  <si>
    <t>STEP</t>
  </si>
  <si>
    <t>VREF</t>
  </si>
  <si>
    <t>DIR</t>
  </si>
  <si>
    <t>OA2</t>
  </si>
  <si>
    <t>VS</t>
  </si>
  <si>
    <t>BRA</t>
  </si>
  <si>
    <t>OA1</t>
  </si>
  <si>
    <t>OB1</t>
  </si>
  <si>
    <t>BRB</t>
  </si>
  <si>
    <t>Enable Not</t>
  </si>
  <si>
    <t>Charge pump</t>
  </si>
  <si>
    <t>No connect</t>
  </si>
  <si>
    <t>5V out, bypass</t>
  </si>
  <si>
    <t>Microstep 1</t>
  </si>
  <si>
    <t>Microstep 2</t>
  </si>
  <si>
    <t>Input</t>
  </si>
  <si>
    <t xml:space="preserve">Index </t>
  </si>
  <si>
    <t>Step</t>
  </si>
  <si>
    <t>Error</t>
  </si>
  <si>
    <t>Clock</t>
  </si>
  <si>
    <t>Power Down</t>
  </si>
  <si>
    <t>DIO</t>
  </si>
  <si>
    <t xml:space="preserve">DI </t>
  </si>
  <si>
    <t>DI</t>
  </si>
  <si>
    <t>DO</t>
  </si>
  <si>
    <t>3.3-5 V</t>
  </si>
  <si>
    <t>Power</t>
  </si>
  <si>
    <t>Step input</t>
  </si>
  <si>
    <t>Ref Current</t>
  </si>
  <si>
    <t>AI</t>
  </si>
  <si>
    <t>Coil A out 2</t>
  </si>
  <si>
    <t>Coil B out 1</t>
  </si>
  <si>
    <t>Motor Pwr</t>
  </si>
  <si>
    <t>Coil A sense</t>
  </si>
  <si>
    <t>Coil B sense</t>
  </si>
  <si>
    <t>Coil A out 1</t>
  </si>
  <si>
    <t>Coil B out 2</t>
  </si>
  <si>
    <t>M1B</t>
  </si>
  <si>
    <t>M1A</t>
  </si>
  <si>
    <t>M2A</t>
  </si>
  <si>
    <t>M2B</t>
  </si>
  <si>
    <t>VIO</t>
  </si>
  <si>
    <t>VM</t>
  </si>
  <si>
    <t>MicroStep</t>
  </si>
  <si>
    <t>Coil 1 A</t>
  </si>
  <si>
    <t>Coil 1 B</t>
  </si>
  <si>
    <t>Coil 2 A</t>
  </si>
  <si>
    <t>Coil 2 B</t>
  </si>
  <si>
    <t>Pwr IO</t>
  </si>
  <si>
    <t>Pwr Motor</t>
  </si>
  <si>
    <t>Tie to ground</t>
  </si>
  <si>
    <t>#Enable</t>
  </si>
  <si>
    <t>EN</t>
  </si>
  <si>
    <t>4
5</t>
  </si>
  <si>
    <t>UART
PDN</t>
  </si>
  <si>
    <t>UART
Power Down</t>
  </si>
  <si>
    <t>Jumper</t>
  </si>
  <si>
    <t>TMC2208</t>
  </si>
  <si>
    <t>GT-U7</t>
  </si>
  <si>
    <t>TFT</t>
  </si>
  <si>
    <t>SCL</t>
  </si>
  <si>
    <t>SDA</t>
  </si>
  <si>
    <t>RES</t>
  </si>
  <si>
    <t>DC</t>
  </si>
  <si>
    <t>CS</t>
  </si>
  <si>
    <t>BLK</t>
  </si>
  <si>
    <t>SPI data</t>
  </si>
  <si>
    <t>SPI clock</t>
  </si>
  <si>
    <t>Reset</t>
  </si>
  <si>
    <t>SPI Chip Select</t>
  </si>
  <si>
    <t>Backlight</t>
  </si>
  <si>
    <t>Low enable</t>
  </si>
  <si>
    <t>SPI data/#cmd</t>
  </si>
  <si>
    <t>1:Data, 0:Cmd</t>
  </si>
  <si>
    <t>3.3V</t>
  </si>
  <si>
    <t>In+</t>
  </si>
  <si>
    <t>In-</t>
  </si>
  <si>
    <t>Out+</t>
  </si>
  <si>
    <t>Out-</t>
  </si>
  <si>
    <t>24V</t>
  </si>
  <si>
    <t>5V</t>
  </si>
  <si>
    <t>Stepper Motor</t>
  </si>
  <si>
    <t>0.3 x 5.7</t>
  </si>
  <si>
    <t>Hall Sensor Breakout</t>
  </si>
  <si>
    <t>Magnets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</si>
</sst>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7" tint="-0.499984740745262"/>
      <name val="Calibri"/>
      <family val="2"/>
      <scheme val="minor"/>
    </font>
    <font>
      <sz val="9"/>
      <color theme="7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2" borderId="0" xfId="0" applyFill="1"/>
    <xf numFmtId="0" fontId="5" fillId="0" borderId="0" xfId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vertical="top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CFLNZK9M?&amp;linkCode=sl2&amp;tag=clll016-20&amp;linkId=3d2bf521d756303c94422036cbbf7b8b&amp;language=en_US" TargetMode="External"/><Relationship Id="rId2" Type="http://schemas.openxmlformats.org/officeDocument/2006/relationships/hyperlink" Target="https://www.amazon.com/dp/B0DFWKD2JP?&amp;linkCode=sl2&amp;tag=clll016-20&amp;linkId=01c08ebf54b65b44094d486e630df638&amp;language=en_US" TargetMode="External"/><Relationship Id="rId1" Type="http://schemas.openxmlformats.org/officeDocument/2006/relationships/hyperlink" Target="https://www.amazon.com/dp/B0DSPDMDK1?&amp;linkCode=sl2&amp;tag=clll016-20&amp;linkId=8a887a006db17347849cb98016c7057c&amp;language=en_US" TargetMode="External"/><Relationship Id="rId6" Type="http://schemas.openxmlformats.org/officeDocument/2006/relationships/hyperlink" Target="https://www.amazon.com/dp/B0B31NRSD2?&amp;linkCode=sl2&amp;tag=clll016-20&amp;linkId=25a67a08de90ed00aeb0706c21d44a1e&amp;language=en_US" TargetMode="External"/><Relationship Id="rId5" Type="http://schemas.openxmlformats.org/officeDocument/2006/relationships/hyperlink" Target="https://www.amazon.com/s?k=raspberry+pi+pico&amp;language=en_US&amp;crid=392BEBRYKCMOQ&amp;linkCode=sl2&amp;linkId=ca45701843f7193167eb006d8df9ffcc&amp;sprefix=raspberry+pi+pi%2Caps%2C319&amp;tag=clll016-20&amp;ref=as_li_ss_tl" TargetMode="External"/><Relationship Id="rId4" Type="http://schemas.openxmlformats.org/officeDocument/2006/relationships/hyperlink" Target="https://www.amazon.com/dp/B0B779ZYN1?th=1&amp;linkCode=sl2&amp;tag=clll016-20&amp;linkId=57ae5943f48666da36e4bb2a8794a360&amp;language=en_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5166-3B4C-42E7-8FC3-262B95730EB1}">
  <dimension ref="A2:E18"/>
  <sheetViews>
    <sheetView tabSelected="1" zoomScale="145" zoomScaleNormal="145" workbookViewId="0">
      <selection activeCell="A11" sqref="A11"/>
    </sheetView>
  </sheetViews>
  <sheetFormatPr defaultRowHeight="14.4" x14ac:dyDescent="0.3"/>
  <cols>
    <col min="1" max="1" width="19" customWidth="1"/>
    <col min="5" max="5" width="48.5546875" customWidth="1"/>
  </cols>
  <sheetData>
    <row r="2" spans="1:5" x14ac:dyDescent="0.3">
      <c r="A2" t="s">
        <v>153</v>
      </c>
      <c r="B2">
        <v>1</v>
      </c>
      <c r="C2" s="9">
        <v>2</v>
      </c>
      <c r="D2" t="s">
        <v>257</v>
      </c>
      <c r="E2" s="10" t="s">
        <v>163</v>
      </c>
    </row>
    <row r="3" spans="1:5" x14ac:dyDescent="0.3">
      <c r="A3" t="s">
        <v>154</v>
      </c>
      <c r="B3">
        <v>1</v>
      </c>
      <c r="C3" s="9">
        <v>2</v>
      </c>
      <c r="D3" t="s">
        <v>257</v>
      </c>
      <c r="E3" s="10" t="s">
        <v>164</v>
      </c>
    </row>
    <row r="4" spans="1:5" x14ac:dyDescent="0.3">
      <c r="A4" t="s">
        <v>155</v>
      </c>
      <c r="B4">
        <v>1</v>
      </c>
      <c r="C4" s="9">
        <v>5</v>
      </c>
      <c r="E4" s="10" t="s">
        <v>162</v>
      </c>
    </row>
    <row r="5" spans="1:5" x14ac:dyDescent="0.3">
      <c r="A5" t="s">
        <v>158</v>
      </c>
      <c r="B5">
        <v>1</v>
      </c>
      <c r="C5" s="9">
        <v>2</v>
      </c>
      <c r="D5" t="s">
        <v>257</v>
      </c>
      <c r="E5" s="10" t="s">
        <v>160</v>
      </c>
    </row>
    <row r="6" spans="1:5" x14ac:dyDescent="0.3">
      <c r="A6" t="s">
        <v>156</v>
      </c>
      <c r="B6">
        <v>6</v>
      </c>
      <c r="C6" s="9">
        <v>7</v>
      </c>
      <c r="E6" s="10" t="s">
        <v>159</v>
      </c>
    </row>
    <row r="7" spans="1:5" x14ac:dyDescent="0.3">
      <c r="A7" t="s">
        <v>266</v>
      </c>
      <c r="B7">
        <v>6</v>
      </c>
      <c r="C7">
        <v>10</v>
      </c>
      <c r="E7" s="10" t="s">
        <v>161</v>
      </c>
    </row>
    <row r="8" spans="1:5" x14ac:dyDescent="0.3">
      <c r="A8" t="s">
        <v>264</v>
      </c>
      <c r="B8">
        <v>6</v>
      </c>
      <c r="C8" s="9">
        <v>6</v>
      </c>
    </row>
    <row r="9" spans="1:5" x14ac:dyDescent="0.3">
      <c r="A9" t="s">
        <v>157</v>
      </c>
    </row>
    <row r="10" spans="1:5" x14ac:dyDescent="0.3">
      <c r="A10" t="s">
        <v>267</v>
      </c>
    </row>
    <row r="11" spans="1:5" x14ac:dyDescent="0.3">
      <c r="B11">
        <v>100</v>
      </c>
      <c r="C11">
        <f>B11/25.4</f>
        <v>3.9370078740157481</v>
      </c>
    </row>
    <row r="12" spans="1:5" x14ac:dyDescent="0.3">
      <c r="B12">
        <v>60</v>
      </c>
      <c r="C12">
        <f>B12/25.4</f>
        <v>2.3622047244094491</v>
      </c>
    </row>
    <row r="15" spans="1:5" x14ac:dyDescent="0.3">
      <c r="A15">
        <f>(A11+A12)/2</f>
        <v>0</v>
      </c>
      <c r="B15">
        <f>(B11+B12)/2</f>
        <v>80</v>
      </c>
      <c r="C15">
        <f>C11-C13</f>
        <v>3.9370078740157481</v>
      </c>
    </row>
    <row r="16" spans="1:5" x14ac:dyDescent="0.3">
      <c r="A16">
        <v>2.54</v>
      </c>
      <c r="B16">
        <v>2.54</v>
      </c>
      <c r="C16">
        <v>2.54</v>
      </c>
    </row>
    <row r="17" spans="1:3" x14ac:dyDescent="0.3">
      <c r="A17">
        <f>A15/A16</f>
        <v>0</v>
      </c>
      <c r="B17">
        <f>B15/B16</f>
        <v>31.496062992125985</v>
      </c>
      <c r="C17">
        <f>C15/C16</f>
        <v>1.5500031000062</v>
      </c>
    </row>
    <row r="18" spans="1:3" x14ac:dyDescent="0.3">
      <c r="B18" s="14" t="s">
        <v>265</v>
      </c>
    </row>
  </sheetData>
  <hyperlinks>
    <hyperlink ref="E6" r:id="rId1" display="https://www.amazon.com/dp/B0DSPDMDK1?&amp;linkCode=sl2&amp;tag=clll016-20&amp;linkId=8a887a006db17347849cb98016c7057c&amp;language=en_US" xr:uid="{0B7FBA3F-7E49-4698-85C0-1967047D30D1}"/>
    <hyperlink ref="E5" r:id="rId2" display="https://www.amazon.com/dp/B0DFWKD2JP?&amp;linkCode=sl2&amp;tag=clll016-20&amp;linkId=01c08ebf54b65b44094d486e630df638&amp;language=en_US" xr:uid="{40F1C41D-D657-418B-9C12-3CC6C8FAF960}"/>
    <hyperlink ref="E7" r:id="rId3" display="https://www.amazon.com/dp/B0CFLNZK9M?&amp;linkCode=sl2&amp;tag=clll016-20&amp;linkId=3d2bf521d756303c94422036cbbf7b8b&amp;language=en_US" xr:uid="{4A111DF2-A926-412A-8F5A-45330A0438A9}"/>
    <hyperlink ref="E4" r:id="rId4" display="https://www.amazon.com/dp/B0B779ZYN1?th=1&amp;linkCode=sl2&amp;tag=clll016-20&amp;linkId=57ae5943f48666da36e4bb2a8794a360&amp;language=en_US" xr:uid="{774C95B0-F5B7-4E08-A30F-C34472BA36D1}"/>
    <hyperlink ref="E2" r:id="rId5" display="https://www.amazon.com/s?k=raspberry+pi+pico&amp;language=en_US&amp;crid=392BEBRYKCMOQ&amp;linkCode=sl2&amp;linkId=ca45701843f7193167eb006d8df9ffcc&amp;sprefix=raspberry+pi+pi%2Caps%2C319&amp;tag=clll016-20&amp;ref=as_li_ss_tl" xr:uid="{1553EB10-4980-4814-ABA5-668A8D270CDD}"/>
    <hyperlink ref="E3" r:id="rId6" display="https://www.amazon.com/dp/B0B31NRSD2?&amp;linkCode=sl2&amp;tag=clll016-20&amp;linkId=25a67a08de90ed00aeb0706c21d44a1e&amp;language=en_US" xr:uid="{683BC4DA-2CB0-4A56-88D6-FABDE1B686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EFC2-59E9-49D3-A01E-2EAB3F9FF279}">
  <dimension ref="A1:K78"/>
  <sheetViews>
    <sheetView zoomScaleNormal="100" workbookViewId="0">
      <pane ySplit="1" topLeftCell="A2" activePane="bottomLeft" state="frozen"/>
      <selection pane="bottomLeft" activeCell="G21" sqref="G21"/>
    </sheetView>
  </sheetViews>
  <sheetFormatPr defaultRowHeight="14.4" x14ac:dyDescent="0.3"/>
  <cols>
    <col min="1" max="1" width="4.21875" style="4" customWidth="1"/>
    <col min="2" max="2" width="7.33203125" customWidth="1"/>
    <col min="6" max="6" width="10.5546875" customWidth="1"/>
    <col min="7" max="7" width="11.88671875" customWidth="1"/>
    <col min="8" max="8" width="5.5546875" customWidth="1"/>
    <col min="9" max="9" width="8.88671875" style="6"/>
    <col min="10" max="10" width="10.5546875" style="8" customWidth="1"/>
    <col min="11" max="11" width="10.44140625" style="8" customWidth="1"/>
  </cols>
  <sheetData>
    <row r="1" spans="1:11" s="2" customFormat="1" x14ac:dyDescent="0.3">
      <c r="A1" s="3" t="s">
        <v>102</v>
      </c>
      <c r="B1" s="5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147</v>
      </c>
      <c r="H1" s="2" t="s">
        <v>148</v>
      </c>
      <c r="I1" s="5" t="s">
        <v>103</v>
      </c>
      <c r="J1" s="7" t="s">
        <v>116</v>
      </c>
      <c r="K1" s="7" t="s">
        <v>115</v>
      </c>
    </row>
    <row r="2" spans="1:11" x14ac:dyDescent="0.3">
      <c r="A2" s="4">
        <v>1</v>
      </c>
      <c r="B2">
        <v>1</v>
      </c>
      <c r="C2" t="s">
        <v>2</v>
      </c>
      <c r="D2" t="s">
        <v>40</v>
      </c>
      <c r="E2" t="s">
        <v>48</v>
      </c>
      <c r="F2" t="s">
        <v>52</v>
      </c>
      <c r="G2" t="s">
        <v>70</v>
      </c>
      <c r="H2" t="s">
        <v>149</v>
      </c>
      <c r="I2" s="6">
        <v>2</v>
      </c>
      <c r="J2" s="8" t="s">
        <v>85</v>
      </c>
      <c r="K2" s="8" t="s">
        <v>85</v>
      </c>
    </row>
    <row r="3" spans="1:11" x14ac:dyDescent="0.3">
      <c r="A3" s="4">
        <v>2</v>
      </c>
      <c r="B3">
        <v>2</v>
      </c>
      <c r="C3" t="s">
        <v>3</v>
      </c>
      <c r="D3" t="s">
        <v>42</v>
      </c>
      <c r="E3" t="s">
        <v>49</v>
      </c>
      <c r="F3" t="s">
        <v>53</v>
      </c>
      <c r="G3" t="s">
        <v>71</v>
      </c>
      <c r="H3" t="s">
        <v>150</v>
      </c>
      <c r="I3" s="6">
        <v>3</v>
      </c>
      <c r="J3" s="8" t="s">
        <v>117</v>
      </c>
      <c r="K3" s="8" t="s">
        <v>117</v>
      </c>
    </row>
    <row r="4" spans="1:11" x14ac:dyDescent="0.3">
      <c r="A4" s="4">
        <v>3</v>
      </c>
      <c r="B4">
        <v>3</v>
      </c>
      <c r="C4" t="s">
        <v>4</v>
      </c>
    </row>
    <row r="5" spans="1:11" x14ac:dyDescent="0.3">
      <c r="A5" s="4">
        <v>4</v>
      </c>
      <c r="B5">
        <v>4</v>
      </c>
      <c r="C5" t="s">
        <v>5</v>
      </c>
      <c r="D5" t="s">
        <v>41</v>
      </c>
      <c r="E5" t="s">
        <v>50</v>
      </c>
      <c r="G5" s="9" t="s">
        <v>57</v>
      </c>
      <c r="H5" t="s">
        <v>149</v>
      </c>
      <c r="I5" s="6">
        <v>4</v>
      </c>
      <c r="J5" s="8" t="s">
        <v>120</v>
      </c>
      <c r="K5" s="8" t="s">
        <v>120</v>
      </c>
    </row>
    <row r="6" spans="1:11" x14ac:dyDescent="0.3">
      <c r="A6" s="4">
        <v>5</v>
      </c>
      <c r="B6">
        <v>5</v>
      </c>
      <c r="C6" t="s">
        <v>6</v>
      </c>
      <c r="D6" t="s">
        <v>43</v>
      </c>
      <c r="E6" t="s">
        <v>51</v>
      </c>
      <c r="G6" s="9" t="s">
        <v>59</v>
      </c>
      <c r="H6" t="s">
        <v>150</v>
      </c>
      <c r="I6" s="6">
        <v>5</v>
      </c>
      <c r="J6" s="8" t="s">
        <v>121</v>
      </c>
      <c r="K6" s="8" t="s">
        <v>121</v>
      </c>
    </row>
    <row r="7" spans="1:11" x14ac:dyDescent="0.3">
      <c r="A7" s="4">
        <v>6</v>
      </c>
      <c r="B7">
        <v>6</v>
      </c>
      <c r="C7" t="s">
        <v>7</v>
      </c>
      <c r="D7" t="s">
        <v>40</v>
      </c>
      <c r="E7" t="s">
        <v>48</v>
      </c>
      <c r="F7" t="s">
        <v>54</v>
      </c>
      <c r="G7" s="9" t="s">
        <v>60</v>
      </c>
      <c r="H7" t="s">
        <v>149</v>
      </c>
      <c r="I7" s="6">
        <v>7</v>
      </c>
      <c r="J7" s="8" t="s">
        <v>81</v>
      </c>
      <c r="K7" s="8" t="s">
        <v>122</v>
      </c>
    </row>
    <row r="8" spans="1:11" x14ac:dyDescent="0.3">
      <c r="A8" s="4">
        <v>7</v>
      </c>
      <c r="B8">
        <v>7</v>
      </c>
      <c r="C8" t="s">
        <v>8</v>
      </c>
      <c r="D8" t="s">
        <v>42</v>
      </c>
      <c r="E8" t="s">
        <v>49</v>
      </c>
      <c r="F8" t="s">
        <v>55</v>
      </c>
      <c r="G8" s="9" t="s">
        <v>61</v>
      </c>
      <c r="H8" t="s">
        <v>150</v>
      </c>
      <c r="I8" s="6">
        <v>8</v>
      </c>
      <c r="J8" s="8" t="s">
        <v>82</v>
      </c>
      <c r="K8" s="8" t="s">
        <v>118</v>
      </c>
    </row>
    <row r="9" spans="1:11" x14ac:dyDescent="0.3">
      <c r="A9" s="4">
        <v>8</v>
      </c>
      <c r="B9">
        <v>8</v>
      </c>
      <c r="C9" t="s">
        <v>4</v>
      </c>
    </row>
    <row r="10" spans="1:11" x14ac:dyDescent="0.3">
      <c r="A10" s="4">
        <v>9</v>
      </c>
      <c r="B10">
        <v>9</v>
      </c>
      <c r="C10" t="s">
        <v>9</v>
      </c>
      <c r="D10" t="s">
        <v>41</v>
      </c>
      <c r="E10" t="s">
        <v>50</v>
      </c>
      <c r="G10" s="9" t="s">
        <v>62</v>
      </c>
      <c r="H10" t="s">
        <v>149</v>
      </c>
      <c r="I10" s="6">
        <v>9</v>
      </c>
      <c r="J10" s="8" t="s">
        <v>83</v>
      </c>
      <c r="K10" s="8" t="s">
        <v>123</v>
      </c>
    </row>
    <row r="11" spans="1:11" x14ac:dyDescent="0.3">
      <c r="A11" s="4">
        <v>10</v>
      </c>
      <c r="B11">
        <v>10</v>
      </c>
      <c r="C11" t="s">
        <v>10</v>
      </c>
      <c r="D11" t="s">
        <v>43</v>
      </c>
      <c r="E11" t="s">
        <v>51</v>
      </c>
      <c r="G11" s="9" t="s">
        <v>63</v>
      </c>
      <c r="H11" t="s">
        <v>150</v>
      </c>
      <c r="I11" s="6">
        <v>10</v>
      </c>
      <c r="J11" s="8" t="s">
        <v>84</v>
      </c>
      <c r="K11" s="8" t="s">
        <v>124</v>
      </c>
    </row>
    <row r="12" spans="1:11" x14ac:dyDescent="0.3">
      <c r="A12" s="4">
        <v>11</v>
      </c>
      <c r="B12">
        <v>11</v>
      </c>
      <c r="C12" t="s">
        <v>11</v>
      </c>
      <c r="D12" t="s">
        <v>44</v>
      </c>
      <c r="E12" t="s">
        <v>48</v>
      </c>
      <c r="F12" t="s">
        <v>54</v>
      </c>
      <c r="G12" s="9" t="s">
        <v>64</v>
      </c>
      <c r="H12" t="s">
        <v>149</v>
      </c>
      <c r="I12" s="6">
        <v>12</v>
      </c>
      <c r="J12" s="8" t="s">
        <v>125</v>
      </c>
      <c r="K12" s="8" t="s">
        <v>125</v>
      </c>
    </row>
    <row r="13" spans="1:11" x14ac:dyDescent="0.3">
      <c r="A13" s="4">
        <v>12</v>
      </c>
      <c r="B13">
        <v>12</v>
      </c>
      <c r="C13" t="s">
        <v>12</v>
      </c>
      <c r="D13" t="s">
        <v>45</v>
      </c>
      <c r="E13" t="s">
        <v>49</v>
      </c>
      <c r="F13" t="s">
        <v>55</v>
      </c>
      <c r="G13" s="9" t="s">
        <v>65</v>
      </c>
      <c r="H13" t="s">
        <v>150</v>
      </c>
      <c r="I13" s="6">
        <v>13</v>
      </c>
      <c r="J13" s="8" t="s">
        <v>119</v>
      </c>
      <c r="K13" s="8" t="s">
        <v>119</v>
      </c>
    </row>
    <row r="14" spans="1:11" x14ac:dyDescent="0.3">
      <c r="A14" s="4">
        <v>13</v>
      </c>
      <c r="B14">
        <v>13</v>
      </c>
      <c r="C14" t="s">
        <v>4</v>
      </c>
    </row>
    <row r="15" spans="1:11" x14ac:dyDescent="0.3">
      <c r="A15" s="4">
        <v>14</v>
      </c>
      <c r="B15">
        <v>14</v>
      </c>
      <c r="C15" t="s">
        <v>13</v>
      </c>
      <c r="D15" t="s">
        <v>46</v>
      </c>
      <c r="E15" t="s">
        <v>50</v>
      </c>
      <c r="G15" s="9" t="s">
        <v>66</v>
      </c>
      <c r="H15" t="s">
        <v>149</v>
      </c>
      <c r="I15" s="6">
        <v>14</v>
      </c>
      <c r="J15" s="8" t="s">
        <v>86</v>
      </c>
      <c r="K15" s="8" t="s">
        <v>86</v>
      </c>
    </row>
    <row r="16" spans="1:11" x14ac:dyDescent="0.3">
      <c r="A16" s="4">
        <v>15</v>
      </c>
      <c r="B16">
        <v>15</v>
      </c>
      <c r="C16" t="s">
        <v>14</v>
      </c>
      <c r="D16" t="s">
        <v>47</v>
      </c>
      <c r="E16" t="s">
        <v>51</v>
      </c>
      <c r="G16" s="9" t="s">
        <v>67</v>
      </c>
      <c r="H16" t="s">
        <v>150</v>
      </c>
      <c r="I16" s="6">
        <v>15</v>
      </c>
      <c r="J16" s="8" t="s">
        <v>87</v>
      </c>
      <c r="K16" s="8" t="s">
        <v>87</v>
      </c>
    </row>
    <row r="17" spans="1:11" x14ac:dyDescent="0.3">
      <c r="A17" s="4">
        <v>16</v>
      </c>
      <c r="B17">
        <v>16</v>
      </c>
      <c r="C17" t="s">
        <v>15</v>
      </c>
      <c r="D17" t="s">
        <v>44</v>
      </c>
      <c r="E17" t="s">
        <v>48</v>
      </c>
      <c r="F17" t="s">
        <v>52</v>
      </c>
      <c r="G17" s="9" t="s">
        <v>68</v>
      </c>
      <c r="H17" t="s">
        <v>149</v>
      </c>
      <c r="I17" s="6">
        <v>16</v>
      </c>
      <c r="J17" s="8" t="s">
        <v>88</v>
      </c>
      <c r="K17" s="8" t="s">
        <v>88</v>
      </c>
    </row>
    <row r="18" spans="1:11" x14ac:dyDescent="0.3">
      <c r="A18" s="4">
        <v>17</v>
      </c>
      <c r="B18">
        <v>17</v>
      </c>
      <c r="C18" t="s">
        <v>16</v>
      </c>
      <c r="D18" t="s">
        <v>45</v>
      </c>
      <c r="E18" t="s">
        <v>49</v>
      </c>
      <c r="F18" t="s">
        <v>53</v>
      </c>
      <c r="G18" s="9" t="s">
        <v>69</v>
      </c>
      <c r="H18" t="s">
        <v>150</v>
      </c>
      <c r="I18" s="6">
        <v>17</v>
      </c>
      <c r="J18" s="8" t="s">
        <v>89</v>
      </c>
      <c r="K18" s="8" t="s">
        <v>89</v>
      </c>
    </row>
    <row r="19" spans="1:11" x14ac:dyDescent="0.3">
      <c r="A19" s="4">
        <v>18</v>
      </c>
      <c r="B19">
        <v>18</v>
      </c>
      <c r="C19" t="s">
        <v>4</v>
      </c>
    </row>
    <row r="20" spans="1:11" x14ac:dyDescent="0.3">
      <c r="A20" s="4">
        <v>19</v>
      </c>
      <c r="B20">
        <v>19</v>
      </c>
      <c r="C20" t="s">
        <v>17</v>
      </c>
      <c r="D20" t="s">
        <v>46</v>
      </c>
      <c r="E20" t="s">
        <v>50</v>
      </c>
      <c r="I20" s="6">
        <v>18</v>
      </c>
      <c r="J20" s="8" t="s">
        <v>90</v>
      </c>
      <c r="K20" s="8" t="s">
        <v>90</v>
      </c>
    </row>
    <row r="21" spans="1:11" x14ac:dyDescent="0.3">
      <c r="A21" s="4">
        <v>20</v>
      </c>
      <c r="B21">
        <v>20</v>
      </c>
      <c r="C21" t="s">
        <v>18</v>
      </c>
      <c r="D21" t="s">
        <v>47</v>
      </c>
      <c r="E21" t="s">
        <v>51</v>
      </c>
      <c r="G21" s="9" t="s">
        <v>58</v>
      </c>
      <c r="H21" t="s">
        <v>149</v>
      </c>
      <c r="I21" s="6">
        <v>19</v>
      </c>
      <c r="J21" s="8" t="s">
        <v>91</v>
      </c>
      <c r="K21" s="8" t="s">
        <v>91</v>
      </c>
    </row>
    <row r="22" spans="1:11" x14ac:dyDescent="0.3">
      <c r="A22" s="4">
        <v>21</v>
      </c>
      <c r="B22">
        <v>21</v>
      </c>
      <c r="C22" t="s">
        <v>19</v>
      </c>
      <c r="D22" t="s">
        <v>40</v>
      </c>
      <c r="E22" t="s">
        <v>48</v>
      </c>
      <c r="F22" t="s">
        <v>52</v>
      </c>
      <c r="G22" t="s">
        <v>72</v>
      </c>
      <c r="H22" t="s">
        <v>150</v>
      </c>
      <c r="I22" s="6">
        <v>27</v>
      </c>
      <c r="J22" s="8" t="s">
        <v>92</v>
      </c>
      <c r="K22" s="8" t="s">
        <v>92</v>
      </c>
    </row>
    <row r="23" spans="1:11" x14ac:dyDescent="0.3">
      <c r="A23" s="4">
        <v>22</v>
      </c>
      <c r="B23">
        <v>22</v>
      </c>
      <c r="C23" t="s">
        <v>20</v>
      </c>
      <c r="D23" t="s">
        <v>42</v>
      </c>
      <c r="E23" t="s">
        <v>49</v>
      </c>
      <c r="F23" t="s">
        <v>53</v>
      </c>
      <c r="G23" t="s">
        <v>73</v>
      </c>
      <c r="H23" t="s">
        <v>149</v>
      </c>
      <c r="I23" s="6">
        <v>28</v>
      </c>
      <c r="J23" s="8" t="s">
        <v>93</v>
      </c>
      <c r="K23" s="8" t="s">
        <v>93</v>
      </c>
    </row>
    <row r="24" spans="1:11" x14ac:dyDescent="0.3">
      <c r="A24" s="4">
        <v>23</v>
      </c>
      <c r="B24">
        <v>23</v>
      </c>
      <c r="C24" t="s">
        <v>4</v>
      </c>
    </row>
    <row r="25" spans="1:11" x14ac:dyDescent="0.3">
      <c r="A25" s="4">
        <v>24</v>
      </c>
      <c r="B25">
        <v>24</v>
      </c>
      <c r="C25" t="s">
        <v>21</v>
      </c>
      <c r="D25" t="s">
        <v>41</v>
      </c>
      <c r="E25" t="s">
        <v>50</v>
      </c>
      <c r="G25" t="s">
        <v>74</v>
      </c>
      <c r="H25" t="s">
        <v>151</v>
      </c>
      <c r="I25" s="6">
        <v>29</v>
      </c>
      <c r="J25" s="8" t="s">
        <v>94</v>
      </c>
      <c r="K25" s="8" t="s">
        <v>94</v>
      </c>
    </row>
    <row r="26" spans="1:11" x14ac:dyDescent="0.3">
      <c r="A26" s="4">
        <v>25</v>
      </c>
      <c r="B26">
        <v>25</v>
      </c>
      <c r="C26" t="s">
        <v>22</v>
      </c>
      <c r="D26" t="s">
        <v>43</v>
      </c>
      <c r="E26" t="s">
        <v>51</v>
      </c>
      <c r="G26" t="s">
        <v>75</v>
      </c>
      <c r="H26" t="s">
        <v>149</v>
      </c>
      <c r="I26" s="6">
        <v>31</v>
      </c>
      <c r="J26" s="8" t="s">
        <v>95</v>
      </c>
      <c r="K26" s="8" t="s">
        <v>95</v>
      </c>
    </row>
    <row r="27" spans="1:11" x14ac:dyDescent="0.3">
      <c r="A27" s="4">
        <v>26</v>
      </c>
      <c r="B27">
        <v>26</v>
      </c>
      <c r="C27" t="s">
        <v>23</v>
      </c>
      <c r="D27" t="s">
        <v>40</v>
      </c>
      <c r="E27" t="s">
        <v>48</v>
      </c>
      <c r="F27" t="s">
        <v>54</v>
      </c>
      <c r="G27" t="s">
        <v>76</v>
      </c>
      <c r="H27" t="s">
        <v>149</v>
      </c>
      <c r="I27" s="6">
        <v>32</v>
      </c>
      <c r="J27" s="8" t="s">
        <v>96</v>
      </c>
      <c r="K27" s="8" t="s">
        <v>96</v>
      </c>
    </row>
    <row r="28" spans="1:11" x14ac:dyDescent="0.3">
      <c r="A28" s="4">
        <v>27</v>
      </c>
      <c r="B28">
        <v>27</v>
      </c>
      <c r="C28" t="s">
        <v>24</v>
      </c>
      <c r="D28" t="s">
        <v>42</v>
      </c>
      <c r="E28" t="s">
        <v>49</v>
      </c>
      <c r="F28" t="s">
        <v>55</v>
      </c>
      <c r="G28" t="s">
        <v>77</v>
      </c>
      <c r="H28" t="s">
        <v>149</v>
      </c>
      <c r="I28" s="6">
        <v>33</v>
      </c>
      <c r="J28" s="8" t="s">
        <v>97</v>
      </c>
      <c r="K28" s="8" t="s">
        <v>97</v>
      </c>
    </row>
    <row r="29" spans="1:11" x14ac:dyDescent="0.3">
      <c r="A29" s="4">
        <v>28</v>
      </c>
      <c r="B29">
        <v>28</v>
      </c>
      <c r="C29" t="s">
        <v>4</v>
      </c>
    </row>
    <row r="30" spans="1:11" x14ac:dyDescent="0.3">
      <c r="A30" s="4">
        <v>29</v>
      </c>
      <c r="B30">
        <v>29</v>
      </c>
      <c r="C30" t="s">
        <v>25</v>
      </c>
      <c r="G30" t="s">
        <v>78</v>
      </c>
      <c r="H30" t="s">
        <v>149</v>
      </c>
      <c r="I30" s="6">
        <v>34</v>
      </c>
      <c r="J30" s="8" t="s">
        <v>98</v>
      </c>
      <c r="K30" s="8" t="s">
        <v>98</v>
      </c>
    </row>
    <row r="31" spans="1:11" x14ac:dyDescent="0.3">
      <c r="A31" s="4">
        <v>30</v>
      </c>
      <c r="B31">
        <v>30</v>
      </c>
      <c r="C31" t="s">
        <v>26</v>
      </c>
      <c r="I31" s="6">
        <v>26</v>
      </c>
      <c r="J31" s="8" t="s">
        <v>26</v>
      </c>
      <c r="K31" s="8" t="s">
        <v>26</v>
      </c>
    </row>
    <row r="32" spans="1:11" x14ac:dyDescent="0.3">
      <c r="A32" s="4">
        <v>31</v>
      </c>
      <c r="B32">
        <v>31</v>
      </c>
      <c r="C32" t="s">
        <v>27</v>
      </c>
      <c r="D32" t="s">
        <v>46</v>
      </c>
      <c r="E32" t="s">
        <v>50</v>
      </c>
      <c r="G32" t="s">
        <v>80</v>
      </c>
      <c r="H32" t="s">
        <v>150</v>
      </c>
      <c r="I32" s="6">
        <v>40</v>
      </c>
      <c r="J32" s="8" t="s">
        <v>99</v>
      </c>
      <c r="K32" s="8" t="s">
        <v>99</v>
      </c>
    </row>
    <row r="33" spans="1:11" x14ac:dyDescent="0.3">
      <c r="A33" s="4">
        <v>32</v>
      </c>
      <c r="B33">
        <v>32</v>
      </c>
      <c r="C33" t="s">
        <v>28</v>
      </c>
      <c r="D33" t="s">
        <v>47</v>
      </c>
      <c r="E33" t="s">
        <v>51</v>
      </c>
      <c r="I33" s="6">
        <v>41</v>
      </c>
      <c r="J33" s="8" t="s">
        <v>100</v>
      </c>
      <c r="K33" s="8" t="s">
        <v>100</v>
      </c>
    </row>
    <row r="34" spans="1:11" x14ac:dyDescent="0.3">
      <c r="A34" s="4">
        <v>33</v>
      </c>
      <c r="B34">
        <v>33</v>
      </c>
      <c r="C34" t="s">
        <v>29</v>
      </c>
    </row>
    <row r="35" spans="1:11" x14ac:dyDescent="0.3">
      <c r="A35" s="4">
        <v>34</v>
      </c>
      <c r="B35">
        <v>34</v>
      </c>
      <c r="C35" t="s">
        <v>30</v>
      </c>
      <c r="D35" t="s">
        <v>40</v>
      </c>
      <c r="G35" t="s">
        <v>79</v>
      </c>
      <c r="H35" t="s">
        <v>149</v>
      </c>
      <c r="I35" s="6">
        <v>42</v>
      </c>
      <c r="J35" s="8" t="s">
        <v>101</v>
      </c>
      <c r="K35" s="8" t="s">
        <v>101</v>
      </c>
    </row>
    <row r="36" spans="1:11" x14ac:dyDescent="0.3">
      <c r="A36" s="4">
        <v>35</v>
      </c>
      <c r="B36">
        <v>35</v>
      </c>
      <c r="C36" t="s">
        <v>31</v>
      </c>
    </row>
    <row r="37" spans="1:11" x14ac:dyDescent="0.3">
      <c r="A37" s="4">
        <v>36</v>
      </c>
      <c r="B37">
        <v>36</v>
      </c>
      <c r="C37" t="s">
        <v>32</v>
      </c>
    </row>
    <row r="38" spans="1:11" x14ac:dyDescent="0.3">
      <c r="A38" s="4">
        <v>37</v>
      </c>
      <c r="B38">
        <v>37</v>
      </c>
      <c r="C38" t="s">
        <v>152</v>
      </c>
    </row>
    <row r="39" spans="1:11" x14ac:dyDescent="0.3">
      <c r="A39" s="4">
        <v>38</v>
      </c>
      <c r="B39">
        <v>38</v>
      </c>
      <c r="C39" t="s">
        <v>4</v>
      </c>
    </row>
    <row r="40" spans="1:11" x14ac:dyDescent="0.3">
      <c r="A40" s="4">
        <v>39</v>
      </c>
      <c r="B40">
        <v>39</v>
      </c>
      <c r="C40" t="s">
        <v>33</v>
      </c>
    </row>
    <row r="41" spans="1:11" x14ac:dyDescent="0.3">
      <c r="A41" s="4">
        <v>40</v>
      </c>
      <c r="B41">
        <v>40</v>
      </c>
      <c r="C41" t="s">
        <v>34</v>
      </c>
    </row>
    <row r="42" spans="1:11" x14ac:dyDescent="0.3">
      <c r="A42" s="4">
        <v>42</v>
      </c>
      <c r="B42" s="1" t="s">
        <v>1</v>
      </c>
      <c r="C42" t="s">
        <v>4</v>
      </c>
    </row>
    <row r="43" spans="1:11" x14ac:dyDescent="0.3">
      <c r="A43" s="4">
        <v>41</v>
      </c>
      <c r="B43" s="1" t="s">
        <v>0</v>
      </c>
      <c r="C43" t="s">
        <v>0</v>
      </c>
    </row>
    <row r="44" spans="1:11" x14ac:dyDescent="0.3">
      <c r="A44" s="4">
        <v>43</v>
      </c>
      <c r="B44" s="1" t="s">
        <v>56</v>
      </c>
      <c r="C44" t="s">
        <v>56</v>
      </c>
    </row>
    <row r="45" spans="1:11" x14ac:dyDescent="0.3">
      <c r="A45" s="4">
        <v>101</v>
      </c>
      <c r="I45" s="6">
        <v>1</v>
      </c>
      <c r="J45" s="8" t="s">
        <v>104</v>
      </c>
      <c r="K45" s="8" t="s">
        <v>114</v>
      </c>
    </row>
    <row r="46" spans="1:11" x14ac:dyDescent="0.3">
      <c r="A46" s="4">
        <v>102</v>
      </c>
      <c r="I46" s="6">
        <v>6</v>
      </c>
      <c r="J46" s="8" t="s">
        <v>126</v>
      </c>
      <c r="K46" s="8" t="s">
        <v>105</v>
      </c>
    </row>
    <row r="47" spans="1:11" x14ac:dyDescent="0.3">
      <c r="A47" s="4">
        <v>103</v>
      </c>
      <c r="I47" s="6">
        <v>11</v>
      </c>
      <c r="J47" s="8" t="s">
        <v>114</v>
      </c>
      <c r="K47" s="8" t="s">
        <v>104</v>
      </c>
    </row>
    <row r="48" spans="1:11" x14ac:dyDescent="0.3">
      <c r="A48" s="4">
        <v>104</v>
      </c>
      <c r="I48" s="6">
        <v>20</v>
      </c>
      <c r="J48" s="8" t="s">
        <v>114</v>
      </c>
      <c r="K48" s="8" t="s">
        <v>104</v>
      </c>
    </row>
    <row r="49" spans="1:11" x14ac:dyDescent="0.3">
      <c r="A49" s="4">
        <v>105</v>
      </c>
      <c r="I49" s="6">
        <v>21</v>
      </c>
      <c r="J49" s="8" t="s">
        <v>106</v>
      </c>
      <c r="K49" s="8" t="s">
        <v>106</v>
      </c>
    </row>
    <row r="50" spans="1:11" x14ac:dyDescent="0.3">
      <c r="A50" s="4">
        <v>106</v>
      </c>
      <c r="I50" s="6">
        <v>22</v>
      </c>
      <c r="J50" s="8" t="s">
        <v>107</v>
      </c>
      <c r="K50" s="8" t="s">
        <v>107</v>
      </c>
    </row>
    <row r="51" spans="1:11" x14ac:dyDescent="0.3">
      <c r="A51" s="4">
        <v>107</v>
      </c>
      <c r="I51" s="6">
        <v>24</v>
      </c>
      <c r="J51" s="8" t="s">
        <v>126</v>
      </c>
      <c r="K51" s="8" t="s">
        <v>105</v>
      </c>
    </row>
    <row r="52" spans="1:11" x14ac:dyDescent="0.3">
      <c r="A52" s="4">
        <v>108</v>
      </c>
      <c r="I52" s="6">
        <v>24</v>
      </c>
      <c r="J52" s="8" t="s">
        <v>108</v>
      </c>
      <c r="K52" s="8" t="s">
        <v>108</v>
      </c>
    </row>
    <row r="53" spans="1:11" x14ac:dyDescent="0.3">
      <c r="A53" s="4">
        <v>109</v>
      </c>
      <c r="I53" s="6">
        <v>25</v>
      </c>
      <c r="J53" s="8" t="s">
        <v>109</v>
      </c>
      <c r="K53" s="8" t="s">
        <v>109</v>
      </c>
    </row>
    <row r="54" spans="1:11" x14ac:dyDescent="0.3">
      <c r="A54" s="4">
        <v>110</v>
      </c>
      <c r="I54" s="6">
        <v>30</v>
      </c>
      <c r="J54" s="8" t="s">
        <v>114</v>
      </c>
      <c r="K54" s="8" t="s">
        <v>104</v>
      </c>
    </row>
    <row r="55" spans="1:11" x14ac:dyDescent="0.3">
      <c r="A55" s="4">
        <v>111</v>
      </c>
      <c r="I55" s="6">
        <v>35</v>
      </c>
      <c r="J55" s="8" t="s">
        <v>110</v>
      </c>
      <c r="K55" s="8" t="s">
        <v>127</v>
      </c>
    </row>
    <row r="56" spans="1:11" x14ac:dyDescent="0.3">
      <c r="A56" s="4">
        <v>112</v>
      </c>
      <c r="I56" s="6">
        <v>36</v>
      </c>
      <c r="J56" s="8" t="s">
        <v>111</v>
      </c>
      <c r="K56" s="8" t="s">
        <v>128</v>
      </c>
    </row>
    <row r="57" spans="1:11" x14ac:dyDescent="0.3">
      <c r="A57" s="4">
        <v>113</v>
      </c>
      <c r="I57" s="6">
        <v>37</v>
      </c>
      <c r="J57" s="8" t="s">
        <v>112</v>
      </c>
      <c r="K57" s="8" t="s">
        <v>129</v>
      </c>
    </row>
    <row r="58" spans="1:11" x14ac:dyDescent="0.3">
      <c r="A58" s="4">
        <v>114</v>
      </c>
      <c r="I58" s="6">
        <v>38</v>
      </c>
      <c r="J58" s="8" t="s">
        <v>114</v>
      </c>
      <c r="K58" s="8" t="s">
        <v>104</v>
      </c>
    </row>
    <row r="59" spans="1:11" x14ac:dyDescent="0.3">
      <c r="A59" s="4">
        <v>115</v>
      </c>
      <c r="I59" s="6">
        <v>39</v>
      </c>
      <c r="J59" s="8" t="s">
        <v>126</v>
      </c>
      <c r="K59" s="8" t="s">
        <v>105</v>
      </c>
    </row>
    <row r="60" spans="1:11" x14ac:dyDescent="0.3">
      <c r="A60" s="4">
        <v>116</v>
      </c>
      <c r="I60" s="6">
        <v>43</v>
      </c>
      <c r="J60" s="8" t="s">
        <v>113</v>
      </c>
      <c r="K60" s="8" t="s">
        <v>131</v>
      </c>
    </row>
    <row r="61" spans="1:11" x14ac:dyDescent="0.3">
      <c r="A61" s="4">
        <v>117</v>
      </c>
      <c r="I61" s="6">
        <v>44</v>
      </c>
      <c r="J61" s="8" t="s">
        <v>130</v>
      </c>
      <c r="K61" s="8" t="s">
        <v>130</v>
      </c>
    </row>
    <row r="62" spans="1:11" x14ac:dyDescent="0.3">
      <c r="A62" s="4">
        <v>118</v>
      </c>
      <c r="I62" s="6">
        <v>45</v>
      </c>
      <c r="J62" s="8" t="s">
        <v>114</v>
      </c>
      <c r="K62" s="8" t="s">
        <v>104</v>
      </c>
    </row>
    <row r="63" spans="1:11" x14ac:dyDescent="0.3">
      <c r="A63" s="4">
        <v>119</v>
      </c>
      <c r="I63" s="6">
        <v>46</v>
      </c>
      <c r="J63" s="8" t="s">
        <v>132</v>
      </c>
    </row>
    <row r="64" spans="1:11" x14ac:dyDescent="0.3">
      <c r="A64" s="4">
        <v>120</v>
      </c>
      <c r="I64" s="6">
        <v>47</v>
      </c>
      <c r="J64" s="8" t="s">
        <v>133</v>
      </c>
    </row>
    <row r="65" spans="1:10" x14ac:dyDescent="0.3">
      <c r="A65" s="4">
        <v>121</v>
      </c>
      <c r="I65" s="6">
        <v>48</v>
      </c>
      <c r="J65" s="8" t="s">
        <v>134</v>
      </c>
    </row>
    <row r="66" spans="1:10" x14ac:dyDescent="0.3">
      <c r="A66" s="4">
        <v>122</v>
      </c>
      <c r="I66" s="6">
        <v>49</v>
      </c>
      <c r="J66" s="8" t="s">
        <v>135</v>
      </c>
    </row>
    <row r="67" spans="1:10" x14ac:dyDescent="0.3">
      <c r="A67" s="4">
        <v>123</v>
      </c>
      <c r="I67" s="6">
        <v>50</v>
      </c>
      <c r="J67" s="8" t="s">
        <v>136</v>
      </c>
    </row>
    <row r="68" spans="1:10" x14ac:dyDescent="0.3">
      <c r="A68" s="4">
        <v>124</v>
      </c>
      <c r="I68" s="6">
        <v>51</v>
      </c>
      <c r="J68" s="8" t="s">
        <v>137</v>
      </c>
    </row>
    <row r="69" spans="1:10" x14ac:dyDescent="0.3">
      <c r="A69" s="4">
        <v>125</v>
      </c>
      <c r="I69" s="6">
        <v>52</v>
      </c>
      <c r="J69" s="8" t="s">
        <v>138</v>
      </c>
    </row>
    <row r="70" spans="1:10" x14ac:dyDescent="0.3">
      <c r="A70" s="4">
        <v>126</v>
      </c>
      <c r="I70" s="6">
        <v>53</v>
      </c>
      <c r="J70" s="8" t="s">
        <v>139</v>
      </c>
    </row>
    <row r="71" spans="1:10" x14ac:dyDescent="0.3">
      <c r="A71" s="4">
        <v>127</v>
      </c>
      <c r="I71" s="6">
        <v>54</v>
      </c>
      <c r="J71" s="8" t="s">
        <v>145</v>
      </c>
    </row>
    <row r="72" spans="1:10" x14ac:dyDescent="0.3">
      <c r="A72" s="4">
        <v>128</v>
      </c>
      <c r="I72" s="6">
        <v>55</v>
      </c>
      <c r="J72" s="8" t="s">
        <v>141</v>
      </c>
    </row>
    <row r="73" spans="1:10" x14ac:dyDescent="0.3">
      <c r="A73" s="4">
        <v>129</v>
      </c>
      <c r="I73" s="6">
        <v>56</v>
      </c>
      <c r="J73" s="8" t="s">
        <v>140</v>
      </c>
    </row>
    <row r="74" spans="1:10" x14ac:dyDescent="0.3">
      <c r="A74" s="4">
        <v>130</v>
      </c>
      <c r="I74" s="6">
        <v>57</v>
      </c>
      <c r="J74" s="8" t="s">
        <v>142</v>
      </c>
    </row>
    <row r="75" spans="1:10" x14ac:dyDescent="0.3">
      <c r="A75" s="4">
        <v>131</v>
      </c>
      <c r="I75" s="6">
        <v>58</v>
      </c>
      <c r="J75" s="8" t="s">
        <v>144</v>
      </c>
    </row>
    <row r="76" spans="1:10" x14ac:dyDescent="0.3">
      <c r="A76" s="4">
        <v>132</v>
      </c>
      <c r="I76" s="6">
        <v>59</v>
      </c>
      <c r="J76" s="8" t="s">
        <v>143</v>
      </c>
    </row>
    <row r="77" spans="1:10" x14ac:dyDescent="0.3">
      <c r="A77" s="4">
        <v>133</v>
      </c>
      <c r="I77" s="6">
        <v>60</v>
      </c>
      <c r="J77" s="8" t="s">
        <v>146</v>
      </c>
    </row>
    <row r="78" spans="1:10" x14ac:dyDescent="0.3">
      <c r="A78" s="4">
        <v>134</v>
      </c>
      <c r="I78" s="6">
        <v>61</v>
      </c>
      <c r="J78" s="8" t="s">
        <v>1</v>
      </c>
    </row>
  </sheetData>
  <sortState xmlns:xlrd2="http://schemas.microsoft.com/office/spreadsheetml/2017/richdata2" ref="A2:M78">
    <sortCondition ref="B2:B78"/>
    <sortCondition ref="I2:I78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B53F-B10C-4C2A-AB0F-980E6BD825EC}">
  <dimension ref="A2:H53"/>
  <sheetViews>
    <sheetView zoomScale="115" zoomScaleNormal="115" workbookViewId="0">
      <selection activeCell="C53" sqref="C53"/>
    </sheetView>
  </sheetViews>
  <sheetFormatPr defaultRowHeight="14.4" x14ac:dyDescent="0.3"/>
  <cols>
    <col min="3" max="3" width="13.21875" customWidth="1"/>
    <col min="4" max="4" width="8.33203125" customWidth="1"/>
    <col min="7" max="7" width="11.88671875" customWidth="1"/>
    <col min="8" max="8" width="13" customWidth="1"/>
  </cols>
  <sheetData>
    <row r="2" spans="1:5" x14ac:dyDescent="0.3">
      <c r="A2" t="s">
        <v>241</v>
      </c>
    </row>
    <row r="3" spans="1:5" x14ac:dyDescent="0.3">
      <c r="A3">
        <v>1</v>
      </c>
      <c r="B3" t="s">
        <v>165</v>
      </c>
      <c r="E3" t="s">
        <v>257</v>
      </c>
    </row>
    <row r="4" spans="1:5" x14ac:dyDescent="0.3">
      <c r="A4">
        <v>2</v>
      </c>
      <c r="B4" t="s">
        <v>1</v>
      </c>
    </row>
    <row r="5" spans="1:5" x14ac:dyDescent="0.3">
      <c r="A5">
        <v>3</v>
      </c>
      <c r="B5" t="s">
        <v>166</v>
      </c>
    </row>
    <row r="6" spans="1:5" x14ac:dyDescent="0.3">
      <c r="A6">
        <v>4</v>
      </c>
      <c r="B6" t="s">
        <v>167</v>
      </c>
    </row>
    <row r="7" spans="1:5" x14ac:dyDescent="0.3">
      <c r="A7">
        <v>5</v>
      </c>
      <c r="B7" t="s">
        <v>168</v>
      </c>
    </row>
    <row r="9" spans="1:5" x14ac:dyDescent="0.3">
      <c r="A9" t="s">
        <v>242</v>
      </c>
    </row>
    <row r="10" spans="1:5" x14ac:dyDescent="0.3">
      <c r="A10">
        <v>1</v>
      </c>
      <c r="B10" t="s">
        <v>1</v>
      </c>
      <c r="C10" t="s">
        <v>4</v>
      </c>
      <c r="D10" t="s">
        <v>209</v>
      </c>
    </row>
    <row r="11" spans="1:5" x14ac:dyDescent="0.3">
      <c r="A11">
        <v>2</v>
      </c>
      <c r="B11" t="s">
        <v>165</v>
      </c>
      <c r="C11" t="s">
        <v>209</v>
      </c>
      <c r="D11" t="s">
        <v>209</v>
      </c>
      <c r="E11" t="s">
        <v>257</v>
      </c>
    </row>
    <row r="12" spans="1:5" x14ac:dyDescent="0.3">
      <c r="A12">
        <v>3</v>
      </c>
      <c r="B12" t="s">
        <v>243</v>
      </c>
      <c r="C12" t="s">
        <v>250</v>
      </c>
      <c r="D12" t="s">
        <v>206</v>
      </c>
    </row>
    <row r="13" spans="1:5" x14ac:dyDescent="0.3">
      <c r="A13">
        <v>4</v>
      </c>
      <c r="B13" t="s">
        <v>244</v>
      </c>
      <c r="C13" t="s">
        <v>249</v>
      </c>
      <c r="D13" t="s">
        <v>204</v>
      </c>
    </row>
    <row r="14" spans="1:5" x14ac:dyDescent="0.3">
      <c r="A14">
        <v>5</v>
      </c>
      <c r="B14" t="s">
        <v>245</v>
      </c>
      <c r="C14" t="s">
        <v>251</v>
      </c>
      <c r="D14" t="s">
        <v>206</v>
      </c>
    </row>
    <row r="15" spans="1:5" x14ac:dyDescent="0.3">
      <c r="A15">
        <v>6</v>
      </c>
      <c r="B15" t="s">
        <v>246</v>
      </c>
      <c r="C15" t="s">
        <v>255</v>
      </c>
      <c r="D15" t="s">
        <v>206</v>
      </c>
      <c r="E15" t="s">
        <v>256</v>
      </c>
    </row>
    <row r="16" spans="1:5" x14ac:dyDescent="0.3">
      <c r="A16">
        <v>7</v>
      </c>
      <c r="B16" t="s">
        <v>247</v>
      </c>
      <c r="C16" t="s">
        <v>252</v>
      </c>
      <c r="D16" t="s">
        <v>206</v>
      </c>
      <c r="E16" t="s">
        <v>254</v>
      </c>
    </row>
    <row r="17" spans="1:8" x14ac:dyDescent="0.3">
      <c r="A17">
        <v>8</v>
      </c>
      <c r="B17" t="s">
        <v>248</v>
      </c>
      <c r="C17" t="s">
        <v>253</v>
      </c>
      <c r="D17" t="s">
        <v>206</v>
      </c>
    </row>
    <row r="19" spans="1:8" x14ac:dyDescent="0.3">
      <c r="A19" t="s">
        <v>240</v>
      </c>
    </row>
    <row r="20" spans="1:8" x14ac:dyDescent="0.3">
      <c r="A20">
        <v>1</v>
      </c>
      <c r="B20" t="s">
        <v>169</v>
      </c>
      <c r="C20" t="s">
        <v>219</v>
      </c>
      <c r="E20">
        <v>11</v>
      </c>
      <c r="F20" t="s">
        <v>223</v>
      </c>
      <c r="G20" t="s">
        <v>230</v>
      </c>
    </row>
    <row r="21" spans="1:8" x14ac:dyDescent="0.3">
      <c r="A21">
        <v>2</v>
      </c>
      <c r="B21" t="s">
        <v>170</v>
      </c>
      <c r="C21" t="s">
        <v>192</v>
      </c>
      <c r="D21" t="s">
        <v>205</v>
      </c>
      <c r="E21">
        <v>1</v>
      </c>
      <c r="F21" t="s">
        <v>235</v>
      </c>
      <c r="G21" t="s">
        <v>234</v>
      </c>
    </row>
    <row r="22" spans="1:8" x14ac:dyDescent="0.3">
      <c r="A22">
        <v>3</v>
      </c>
      <c r="B22" t="s">
        <v>1</v>
      </c>
      <c r="C22" t="s">
        <v>4</v>
      </c>
      <c r="E22">
        <v>9</v>
      </c>
      <c r="F22" t="s">
        <v>1</v>
      </c>
      <c r="G22" t="s">
        <v>4</v>
      </c>
    </row>
    <row r="23" spans="1:8" x14ac:dyDescent="0.3">
      <c r="A23">
        <v>4</v>
      </c>
      <c r="B23" t="s">
        <v>171</v>
      </c>
      <c r="C23" t="s">
        <v>193</v>
      </c>
    </row>
    <row r="24" spans="1:8" x14ac:dyDescent="0.3">
      <c r="A24">
        <v>5</v>
      </c>
      <c r="B24" t="s">
        <v>172</v>
      </c>
      <c r="C24" t="s">
        <v>193</v>
      </c>
    </row>
    <row r="25" spans="1:8" x14ac:dyDescent="0.3">
      <c r="A25">
        <v>6</v>
      </c>
      <c r="B25" t="s">
        <v>173</v>
      </c>
      <c r="C25" t="s">
        <v>193</v>
      </c>
    </row>
    <row r="26" spans="1:8" x14ac:dyDescent="0.3">
      <c r="A26">
        <v>7</v>
      </c>
      <c r="B26" t="s">
        <v>174</v>
      </c>
      <c r="C26" t="s">
        <v>194</v>
      </c>
    </row>
    <row r="27" spans="1:8" x14ac:dyDescent="0.3">
      <c r="A27">
        <v>8</v>
      </c>
      <c r="B27" t="s">
        <v>175</v>
      </c>
      <c r="C27" t="s">
        <v>195</v>
      </c>
    </row>
    <row r="28" spans="1:8" x14ac:dyDescent="0.3">
      <c r="A28">
        <v>9</v>
      </c>
      <c r="B28" t="s">
        <v>176</v>
      </c>
      <c r="C28" t="s">
        <v>196</v>
      </c>
      <c r="D28" t="s">
        <v>206</v>
      </c>
      <c r="E28">
        <v>2</v>
      </c>
      <c r="F28" t="s">
        <v>176</v>
      </c>
      <c r="G28" t="s">
        <v>226</v>
      </c>
    </row>
    <row r="29" spans="1:8" x14ac:dyDescent="0.3">
      <c r="A29">
        <v>10</v>
      </c>
      <c r="B29" t="s">
        <v>177</v>
      </c>
      <c r="C29" t="s">
        <v>197</v>
      </c>
      <c r="D29" t="s">
        <v>206</v>
      </c>
      <c r="E29">
        <v>3</v>
      </c>
      <c r="F29" t="s">
        <v>177</v>
      </c>
      <c r="G29" t="s">
        <v>226</v>
      </c>
    </row>
    <row r="30" spans="1:8" x14ac:dyDescent="0.3">
      <c r="A30">
        <v>11</v>
      </c>
      <c r="B30" t="s">
        <v>178</v>
      </c>
      <c r="C30" t="s">
        <v>201</v>
      </c>
      <c r="D30" t="s">
        <v>207</v>
      </c>
    </row>
    <row r="31" spans="1:8" x14ac:dyDescent="0.3">
      <c r="A31">
        <v>12</v>
      </c>
      <c r="B31" t="s">
        <v>179</v>
      </c>
      <c r="C31" t="s">
        <v>199</v>
      </c>
      <c r="D31" t="s">
        <v>207</v>
      </c>
    </row>
    <row r="32" spans="1:8" x14ac:dyDescent="0.3">
      <c r="A32">
        <v>13</v>
      </c>
      <c r="B32" t="s">
        <v>180</v>
      </c>
      <c r="C32" t="s">
        <v>202</v>
      </c>
      <c r="D32" t="s">
        <v>198</v>
      </c>
      <c r="E32">
        <v>6</v>
      </c>
      <c r="F32" t="s">
        <v>180</v>
      </c>
      <c r="G32" t="s">
        <v>202</v>
      </c>
      <c r="H32" t="s">
        <v>233</v>
      </c>
    </row>
    <row r="33" spans="1:8" ht="28.8" x14ac:dyDescent="0.3">
      <c r="A33" s="13">
        <v>14</v>
      </c>
      <c r="B33" s="13" t="s">
        <v>181</v>
      </c>
      <c r="C33" s="13" t="s">
        <v>203</v>
      </c>
      <c r="D33" s="13" t="s">
        <v>204</v>
      </c>
      <c r="E33" s="12" t="s">
        <v>236</v>
      </c>
      <c r="F33" s="11" t="s">
        <v>237</v>
      </c>
      <c r="G33" s="11" t="s">
        <v>238</v>
      </c>
      <c r="H33" t="s">
        <v>239</v>
      </c>
    </row>
    <row r="34" spans="1:8" x14ac:dyDescent="0.3">
      <c r="A34">
        <v>15</v>
      </c>
      <c r="B34" t="s">
        <v>182</v>
      </c>
      <c r="C34" t="s">
        <v>208</v>
      </c>
      <c r="D34" t="s">
        <v>209</v>
      </c>
      <c r="E34">
        <v>10</v>
      </c>
      <c r="F34" t="s">
        <v>224</v>
      </c>
      <c r="G34" t="s">
        <v>231</v>
      </c>
    </row>
    <row r="35" spans="1:8" x14ac:dyDescent="0.3">
      <c r="A35">
        <v>16</v>
      </c>
      <c r="B35" t="s">
        <v>183</v>
      </c>
      <c r="C35" t="s">
        <v>210</v>
      </c>
      <c r="D35" t="s">
        <v>206</v>
      </c>
      <c r="E35">
        <v>7</v>
      </c>
      <c r="F35" t="s">
        <v>183</v>
      </c>
      <c r="G35" t="s">
        <v>200</v>
      </c>
    </row>
    <row r="36" spans="1:8" x14ac:dyDescent="0.3">
      <c r="A36">
        <v>17</v>
      </c>
      <c r="B36" t="s">
        <v>184</v>
      </c>
      <c r="C36" t="s">
        <v>211</v>
      </c>
      <c r="D36" t="s">
        <v>212</v>
      </c>
    </row>
    <row r="37" spans="1:8" x14ac:dyDescent="0.3">
      <c r="A37">
        <v>18</v>
      </c>
      <c r="B37" t="s">
        <v>1</v>
      </c>
      <c r="C37" t="s">
        <v>4</v>
      </c>
      <c r="D37" t="s">
        <v>209</v>
      </c>
      <c r="E37">
        <v>15</v>
      </c>
      <c r="F37" t="s">
        <v>1</v>
      </c>
      <c r="G37" t="s">
        <v>4</v>
      </c>
    </row>
    <row r="38" spans="1:8" x14ac:dyDescent="0.3">
      <c r="A38">
        <v>19</v>
      </c>
      <c r="B38" t="s">
        <v>185</v>
      </c>
      <c r="C38" t="s">
        <v>58</v>
      </c>
      <c r="D38" t="s">
        <v>206</v>
      </c>
      <c r="E38">
        <v>8</v>
      </c>
      <c r="F38" t="s">
        <v>185</v>
      </c>
      <c r="G38" t="s">
        <v>58</v>
      </c>
    </row>
    <row r="39" spans="1:8" x14ac:dyDescent="0.3">
      <c r="A39">
        <v>20</v>
      </c>
      <c r="B39" t="s">
        <v>174</v>
      </c>
    </row>
    <row r="40" spans="1:8" x14ac:dyDescent="0.3">
      <c r="A40">
        <v>21</v>
      </c>
      <c r="B40" t="s">
        <v>186</v>
      </c>
      <c r="C40" t="s">
        <v>213</v>
      </c>
      <c r="E40">
        <v>14</v>
      </c>
      <c r="F40" t="s">
        <v>220</v>
      </c>
      <c r="G40" t="s">
        <v>228</v>
      </c>
    </row>
    <row r="41" spans="1:8" x14ac:dyDescent="0.3">
      <c r="A41">
        <v>22</v>
      </c>
      <c r="B41" t="s">
        <v>187</v>
      </c>
      <c r="C41" t="s">
        <v>215</v>
      </c>
      <c r="E41">
        <v>16</v>
      </c>
      <c r="F41" t="s">
        <v>225</v>
      </c>
      <c r="G41" t="s">
        <v>232</v>
      </c>
    </row>
    <row r="42" spans="1:8" x14ac:dyDescent="0.3">
      <c r="A42">
        <v>23</v>
      </c>
      <c r="B42" t="s">
        <v>188</v>
      </c>
      <c r="C42" t="s">
        <v>216</v>
      </c>
    </row>
    <row r="43" spans="1:8" x14ac:dyDescent="0.3">
      <c r="A43">
        <v>24</v>
      </c>
      <c r="B43" t="s">
        <v>189</v>
      </c>
      <c r="C43" t="s">
        <v>218</v>
      </c>
      <c r="E43">
        <v>13</v>
      </c>
      <c r="F43" t="s">
        <v>221</v>
      </c>
      <c r="G43" t="s">
        <v>227</v>
      </c>
    </row>
    <row r="44" spans="1:8" x14ac:dyDescent="0.3">
      <c r="A44">
        <v>25</v>
      </c>
      <c r="B44" t="s">
        <v>174</v>
      </c>
    </row>
    <row r="45" spans="1:8" x14ac:dyDescent="0.3">
      <c r="A45">
        <v>26</v>
      </c>
      <c r="B45" t="s">
        <v>190</v>
      </c>
      <c r="C45" t="s">
        <v>214</v>
      </c>
      <c r="E45">
        <v>12</v>
      </c>
      <c r="F45" t="s">
        <v>222</v>
      </c>
      <c r="G45" t="s">
        <v>229</v>
      </c>
    </row>
    <row r="46" spans="1:8" x14ac:dyDescent="0.3">
      <c r="A46">
        <v>27</v>
      </c>
      <c r="B46" t="s">
        <v>191</v>
      </c>
      <c r="C46" t="s">
        <v>217</v>
      </c>
    </row>
    <row r="47" spans="1:8" x14ac:dyDescent="0.3">
      <c r="A47">
        <v>28</v>
      </c>
      <c r="B47" t="s">
        <v>187</v>
      </c>
      <c r="C47" t="s">
        <v>215</v>
      </c>
    </row>
    <row r="49" spans="1:3" x14ac:dyDescent="0.3">
      <c r="A49" t="s">
        <v>155</v>
      </c>
    </row>
    <row r="50" spans="1:3" x14ac:dyDescent="0.3">
      <c r="A50">
        <v>1</v>
      </c>
      <c r="B50" t="s">
        <v>258</v>
      </c>
      <c r="C50" t="s">
        <v>262</v>
      </c>
    </row>
    <row r="51" spans="1:3" x14ac:dyDescent="0.3">
      <c r="A51">
        <v>2</v>
      </c>
      <c r="B51" t="s">
        <v>259</v>
      </c>
      <c r="C51" t="s">
        <v>4</v>
      </c>
    </row>
    <row r="52" spans="1:3" x14ac:dyDescent="0.3">
      <c r="A52">
        <v>3</v>
      </c>
      <c r="B52" t="s">
        <v>260</v>
      </c>
      <c r="C52" t="s">
        <v>263</v>
      </c>
    </row>
    <row r="53" spans="1:3" x14ac:dyDescent="0.3">
      <c r="A53">
        <v>4</v>
      </c>
      <c r="B53" t="s">
        <v>261</v>
      </c>
      <c r="C53" t="s">
        <v>4</v>
      </c>
    </row>
  </sheetData>
  <sortState xmlns:xlrd2="http://schemas.microsoft.com/office/spreadsheetml/2017/richdata2" ref="I21:K35">
    <sortCondition ref="I21:I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Pi Pico</vt:lpstr>
      <vt:lpstr>Pinouts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tomh</dc:creator>
  <cp:lastModifiedBy>tomh</cp:lastModifiedBy>
  <dcterms:created xsi:type="dcterms:W3CDTF">2026-02-25T16:34:48Z</dcterms:created>
  <dcterms:modified xsi:type="dcterms:W3CDTF">2026-02-28T01:15:01Z</dcterms:modified>
</cp:coreProperties>
</file>